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ormulář" sheetId="1" r:id="rId1"/>
    <sheet name="Rozpočet" sheetId="2" r:id="rId2"/>
    <sheet name="Lists" sheetId="3" state="hidden" r:id="rId3"/>
  </sheets>
</workbook>
</file>

<file path=xl/sharedStrings.xml><?xml version="1.0" encoding="utf-8"?>
<sst xmlns="http://schemas.openxmlformats.org/spreadsheetml/2006/main" count="37" uniqueCount="37">
  <si>
    <t xml:space="preserve">Název akce:</t>
  </si>
  <si>
    <t xml:space="preserve">Oprava střechy ZŠ Komenského</t>
  </si>
  <si>
    <t xml:space="preserve">Investor:</t>
  </si>
  <si>
    <t xml:space="preserve">Město Kolín</t>
  </si>
  <si>
    <t xml:space="preserve">Zhotovitel:</t>
  </si>
  <si>
    <t xml:space="preserve">IČO:</t>
  </si>
  <si>
    <t xml:space="preserve">Místo stavby:</t>
  </si>
  <si>
    <t xml:space="preserve">Kolín, Komenského 395</t>
  </si>
  <si>
    <t xml:space="preserve">Termín zahájení:</t>
  </si>
  <si>
    <t xml:space="preserve">Termín dokončení:</t>
  </si>
  <si>
    <t xml:space="preserve">Rozpočet celkem:</t>
  </si>
  <si>
    <t xml:space="preserve">Odpovědná osoba:</t>
  </si>
  <si>
    <t xml:space="preserve">Telefon:</t>
  </si>
  <si>
    <t xml:space="preserve">E-mail:</t>
  </si>
  <si>
    <t xml:space="preserve">Poznámka:</t>
  </si>
  <si>
    <t xml:space="preserve">Datum</t>
  </si>
  <si>
    <t xml:space="preserve">Položka</t>
  </si>
  <si>
    <t xml:space="preserve">MJ</t>
  </si>
  <si>
    <t xml:space="preserve">Množství</t>
  </si>
  <si>
    <t xml:space="preserve">Cena/MJ</t>
  </si>
  <si>
    <t xml:space="preserve">Celkem</t>
  </si>
  <si>
    <t xml:space="preserve">DPH</t>
  </si>
  <si>
    <t xml:space="preserve">S DPH</t>
  </si>
  <si>
    <t xml:space="preserve">Kontrola</t>
  </si>
  <si>
    <t xml:space="preserve">Středisko</t>
  </si>
  <si>
    <t xml:space="preserve">Pozn.</t>
  </si>
  <si>
    <t xml:space="preserve">Index</t>
  </si>
  <si>
    <t xml:space="preserve">Lešení</t>
  </si>
  <si>
    <t xml:space="preserve">m2</t>
  </si>
  <si>
    <t xml:space="preserve">Krytina plechová</t>
  </si>
  <si>
    <t xml:space="preserve">Středisko 001</t>
  </si>
  <si>
    <t xml:space="preserve">aktivní</t>
  </si>
  <si>
    <t xml:space="preserve">Středisko 002</t>
  </si>
  <si>
    <t xml:space="preserve">Středisko 003</t>
  </si>
  <si>
    <t xml:space="preserve">Středisko 004</t>
  </si>
  <si>
    <t xml:space="preserve">Středisko 005</t>
  </si>
  <si>
    <t xml:space="preserve">Středisko 006</t>
  </si>
</sst>
</file>

<file path=xl/styles.xml><?xml version="1.0" encoding="utf-8"?>
<styleSheet xmlns="http://schemas.openxmlformats.org/spreadsheetml/2006/main">
  <numFmts count="1">
    <numFmt numFmtId="164" formatCode="d.m.yyyy"/>
  </numFmts>
  <cellXfs count="4">
    <xf numFmtId="0"/>
    <xf numFmtId="14"/>
    <xf numFmtId="164"/>
    <xf numFmtId="2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haredStrings" Target="sharedStrings.xml"/><Relationship Id="rIdT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3">
      <c r="B3" t="s">
        <v>0</v>
      </c>
      <c r="D3" t="s">
        <v>1</v>
      </c>
    </row>
    <row r="5">
      <c r="B5" t="s">
        <v>2</v>
      </c>
      <c r="D5" t="s">
        <v>3</v>
      </c>
    </row>
    <row r="7">
      <c r="B7" t="s">
        <v>4</v>
      </c>
      <c r="D7" t="str">
        <f>IF(A1="","",A1)</f>
        <v/>
      </c>
    </row>
    <row r="9">
      <c r="B9" t="s">
        <v>5</v>
      </c>
      <c r="D9" t="str">
        <f>IF(A1="","",A1)</f>
        <v/>
      </c>
    </row>
    <row r="11">
      <c r="B11" t="s">
        <v>6</v>
      </c>
      <c r="D11" t="s">
        <v>7</v>
      </c>
    </row>
    <row r="13">
      <c r="B13" t="s">
        <v>8</v>
      </c>
      <c r="D13" s="2">
        <v>45383</v>
      </c>
    </row>
    <row r="15">
      <c r="B15" t="s">
        <v>9</v>
      </c>
      <c r="D15" t="str">
        <f>IF(A1="","",A1)</f>
        <v/>
      </c>
    </row>
    <row r="17">
      <c r="B17" t="s">
        <v>10</v>
      </c>
      <c r="D17" s="3">
        <f>SUM(X1:X2)</f>
        <v>1250000.0000000002</v>
      </c>
    </row>
    <row r="19">
      <c r="B19" t="s">
        <v>11</v>
      </c>
      <c r="D19" t="str">
        <f>IF(A1="","",A1)</f>
        <v/>
      </c>
    </row>
    <row r="21">
      <c r="B21" t="s">
        <v>12</v>
      </c>
      <c r="D21" t="str">
        <f>IF(A1="","",A1)</f>
        <v/>
      </c>
    </row>
    <row r="23">
      <c r="B23" t="s">
        <v>13</v>
      </c>
      <c r="D23" t="str">
        <f>IF(A1="","",A1)</f>
        <v/>
      </c>
    </row>
    <row r="25">
      <c r="B25" t="s">
        <v>14</v>
      </c>
      <c r="D25" t="str">
        <f>IF(A1="","",A1)</f>
        <v/>
      </c>
    </row>
  </sheetData>
</worksheet>
</file>

<file path=xl/worksheets/sheet2.xml><?xml version="1.0" encoding="utf-8"?>
<worksheet xmlns="http://schemas.openxmlformats.org/spreadsheetml/2006/main"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>
      <c r="A2" s="1">
        <v>45294</v>
      </c>
      <c r="B2" t="str">
        <f>IF(A1="","",A1)</f>
        <v/>
      </c>
      <c r="C2" t="str">
        <f>IF(A1="","",A1)</f>
        <v/>
      </c>
      <c r="F2">
        <f>SUM(X1:X2)</f>
        <v>0</v>
      </c>
      <c r="G2">
        <f>SUM(X1:X2)</f>
        <v>0</v>
      </c>
      <c r="H2">
        <f>SUM(X1:X2)</f>
        <v>0</v>
      </c>
      <c r="I2">
        <f>VLOOKUP(A1,Lists!A:B,2,0)</f>
      </c>
      <c r="J2" t="str">
        <f>IF(A1="","",A1)</f>
        <v/>
      </c>
      <c r="K2" t="e">
        <f>VLOOKUP(A1,Lists!A:B,2,0)</f>
        <v>#N/A</v>
      </c>
      <c r="L2" t="str">
        <f>IF(A1="","",A1)</f>
        <v/>
      </c>
    </row>
    <row r="3">
      <c r="A3" s="1">
        <v>45295</v>
      </c>
      <c r="B3" t="s">
        <v>27</v>
      </c>
      <c r="C3" t="s">
        <v>28</v>
      </c>
      <c r="D3">
        <v>9</v>
      </c>
      <c r="E3">
        <v>0.1</v>
      </c>
      <c r="F3">
        <f>SUM(X1:X2)</f>
        <v>0.9</v>
      </c>
      <c r="G3">
        <f>SUM(X1:X2)</f>
        <v>0</v>
      </c>
      <c r="H3">
        <f>SUM(X1:X2)</f>
        <v>0</v>
      </c>
      <c r="I3">
        <f>VLOOKUP(A1,Lists!A:B,2,0)</f>
      </c>
      <c r="J3" t="str">
        <f>IF(A1="","",A1)</f>
        <v/>
      </c>
      <c r="K3" t="e">
        <f>VLOOKUP(A1,Lists!A:B,2,0)</f>
        <v>#N/A</v>
      </c>
      <c r="L3" t="str">
        <f>IF(A1="","",A1)</f>
        <v/>
      </c>
    </row>
    <row r="4">
      <c r="A4" s="1">
        <v>45296</v>
      </c>
      <c r="B4" t="str">
        <f>IF(A1="","",A1)</f>
        <v/>
      </c>
      <c r="C4" t="str">
        <f>IF(A1="","",A1)</f>
        <v/>
      </c>
      <c r="F4">
        <f>SUM(X1:X2)</f>
        <v>0</v>
      </c>
      <c r="G4">
        <f>SUM(X1:X2)</f>
        <v>0</v>
      </c>
      <c r="H4">
        <f>SUM(X1:X2)</f>
        <v>0</v>
      </c>
      <c r="I4">
        <f>VLOOKUP(A1,Lists!A:B,2,0)</f>
      </c>
      <c r="J4" t="str">
        <f>IF(A1="","",A1)</f>
        <v/>
      </c>
      <c r="K4" t="e">
        <f>VLOOKUP(A1,Lists!A:B,2,0)</f>
        <v>#N/A</v>
      </c>
      <c r="L4" t="str">
        <f>IF(A1="","",A1)</f>
        <v/>
      </c>
    </row>
    <row r="5">
      <c r="A5" s="1">
        <v>45297</v>
      </c>
      <c r="B5" t="str">
        <f>IF(A1="","",A1)</f>
        <v/>
      </c>
      <c r="C5" t="str">
        <f>IF(A1="","",A1)</f>
        <v/>
      </c>
      <c r="F5">
        <f>SUM(X1:X2)</f>
        <v>0</v>
      </c>
      <c r="G5">
        <f>SUM(X1:X2)</f>
        <v>0</v>
      </c>
      <c r="H5">
        <f>SUM(X1:X2)</f>
        <v>0</v>
      </c>
      <c r="I5">
        <f>VLOOKUP(A1,Lists!A:B,2,0)</f>
      </c>
      <c r="J5" t="str">
        <f>IF(A1="","",A1)</f>
        <v/>
      </c>
      <c r="K5" t="e">
        <f>VLOOKUP(A1,Lists!A:B,2,0)</f>
        <v>#N/A</v>
      </c>
      <c r="L5" t="str">
        <f>IF(A1="","",A1)</f>
        <v/>
      </c>
    </row>
    <row r="6">
      <c r="A6" s="1">
        <v>45298</v>
      </c>
      <c r="B6" t="s">
        <v>29</v>
      </c>
      <c r="C6" t="s">
        <v>28</v>
      </c>
      <c r="D6">
        <v>18</v>
      </c>
      <c r="E6">
        <v>249.9</v>
      </c>
      <c r="F6">
        <f>SUM(X1:X2)</f>
        <v>4498.2</v>
      </c>
      <c r="G6">
        <f>SUM(X1:X2)</f>
        <v>0</v>
      </c>
      <c r="H6">
        <f>SUM(X1:X2)</f>
        <v>0</v>
      </c>
      <c r="I6">
        <f>VLOOKUP(A1,Lists!A:B,2,0)</f>
      </c>
      <c r="J6" t="str">
        <f>IF(A1="","",A1)</f>
        <v/>
      </c>
      <c r="K6" t="e">
        <f>VLOOKUP(A1,Lists!A:B,2,0)</f>
        <v>#N/A</v>
      </c>
      <c r="L6" t="str">
        <f>IF(A1="","",A1)</f>
        <v/>
      </c>
    </row>
    <row r="7">
      <c r="A7" s="1">
        <v>45299</v>
      </c>
      <c r="B7" t="str">
        <f>IF(A1="","",A1)</f>
        <v/>
      </c>
      <c r="C7" t="str">
        <f>IF(A1="","",A1)</f>
        <v/>
      </c>
      <c r="F7">
        <f>SUM(X1:X2)</f>
        <v>0</v>
      </c>
      <c r="G7">
        <f>SUM(X1:X2)</f>
        <v>0</v>
      </c>
      <c r="H7">
        <f>SUM(X1:X2)</f>
        <v>0</v>
      </c>
      <c r="I7">
        <f>VLOOKUP(A1,Lists!A:B,2,0)</f>
      </c>
      <c r="J7" t="str">
        <f>IF(A1="","",A1)</f>
        <v/>
      </c>
      <c r="K7" t="e">
        <f>VLOOKUP(A1,Lists!A:B,2,0)</f>
        <v>#N/A</v>
      </c>
      <c r="L7" t="str">
        <f>IF(A1="","",A1)</f>
        <v/>
      </c>
    </row>
    <row r="8">
      <c r="A8" s="1">
        <v>45300</v>
      </c>
      <c r="B8" t="str">
        <f>IF(A1="","",A1)</f>
        <v/>
      </c>
      <c r="C8" t="str">
        <f>IF(A1="","",A1)</f>
        <v/>
      </c>
      <c r="F8">
        <f>SUM(X1:X2)</f>
        <v>0</v>
      </c>
      <c r="G8">
        <f>SUM(X1:X2)</f>
        <v>0</v>
      </c>
      <c r="H8">
        <f>SUM(X1:X2)</f>
        <v>0</v>
      </c>
      <c r="I8">
        <f>VLOOKUP(A1,Lists!A:B,2,0)</f>
      </c>
      <c r="J8" t="str">
        <f>IF(A1="","",A1)</f>
        <v/>
      </c>
      <c r="K8" t="e">
        <f>VLOOKUP(A1,Lists!A:B,2,0)</f>
        <v>#N/A</v>
      </c>
      <c r="L8" t="str">
        <f>IF(A1="","",A1)</f>
        <v/>
      </c>
    </row>
    <row r="9">
      <c r="A9" s="1">
        <v>45301</v>
      </c>
      <c r="B9" t="s">
        <v>27</v>
      </c>
      <c r="C9" t="s">
        <v>28</v>
      </c>
      <c r="D9">
        <v>27</v>
      </c>
      <c r="E9">
        <v>0.1</v>
      </c>
      <c r="F9">
        <f>SUM(X1:X2)</f>
        <v>2.7</v>
      </c>
      <c r="G9">
        <f>SUM(X1:X2)</f>
        <v>0</v>
      </c>
      <c r="H9">
        <f>SUM(X1:X2)</f>
        <v>0</v>
      </c>
      <c r="I9">
        <f>VLOOKUP(A1,Lists!A:B,2,0)</f>
      </c>
      <c r="J9" t="str">
        <f>IF(A1="","",A1)</f>
        <v/>
      </c>
      <c r="K9" t="e">
        <f>VLOOKUP(A1,Lists!A:B,2,0)</f>
        <v>#N/A</v>
      </c>
      <c r="L9" t="str">
        <f>IF(A1="","",A1)</f>
        <v/>
      </c>
    </row>
    <row r="10">
      <c r="A10" s="1">
        <v>45302</v>
      </c>
      <c r="B10" t="str">
        <f>IF(A1="","",A1)</f>
        <v/>
      </c>
      <c r="C10" t="str">
        <f>IF(A1="","",A1)</f>
        <v/>
      </c>
      <c r="F10">
        <f>SUM(X1:X2)</f>
        <v>0</v>
      </c>
      <c r="G10">
        <f>SUM(X1:X2)</f>
        <v>0</v>
      </c>
      <c r="H10">
        <f>SUM(X1:X2)</f>
        <v>0</v>
      </c>
      <c r="I10">
        <f>VLOOKUP(A1,Lists!A:B,2,0)</f>
      </c>
      <c r="J10" t="str">
        <f>IF(A1="","",A1)</f>
        <v/>
      </c>
      <c r="K10" t="e">
        <f>VLOOKUP(A1,Lists!A:B,2,0)</f>
        <v>#N/A</v>
      </c>
      <c r="L10" t="str">
        <f>IF(A1="","",A1)</f>
        <v/>
      </c>
    </row>
    <row r="11">
      <c r="A11" s="1">
        <v>45303</v>
      </c>
      <c r="B11" t="str">
        <f>IF(A1="","",A1)</f>
        <v/>
      </c>
      <c r="C11" t="str">
        <f>IF(A1="","",A1)</f>
        <v/>
      </c>
      <c r="F11">
        <f>SUM(X1:X2)</f>
        <v>0</v>
      </c>
      <c r="G11">
        <f>SUM(X1:X2)</f>
        <v>0</v>
      </c>
      <c r="H11">
        <f>SUM(X1:X2)</f>
        <v>0</v>
      </c>
      <c r="I11">
        <f>VLOOKUP(A1,Lists!A:B,2,0)</f>
      </c>
      <c r="J11" t="str">
        <f>IF(A1="","",A1)</f>
        <v/>
      </c>
      <c r="K11" t="e">
        <f>VLOOKUP(A1,Lists!A:B,2,0)</f>
        <v>#N/A</v>
      </c>
      <c r="L11" t="str">
        <f>IF(A1="","",A1)</f>
        <v/>
      </c>
    </row>
    <row r="12">
      <c r="A12" s="1">
        <v>45304</v>
      </c>
      <c r="B12" t="s">
        <v>29</v>
      </c>
      <c r="C12" t="s">
        <v>28</v>
      </c>
      <c r="D12">
        <v>36</v>
      </c>
      <c r="E12">
        <v>249.9</v>
      </c>
      <c r="F12">
        <f>SUM(X1:X2)</f>
        <v>8996.4</v>
      </c>
      <c r="G12">
        <f>SUM(X1:X2)</f>
        <v>0</v>
      </c>
      <c r="H12">
        <f>SUM(X1:X2)</f>
        <v>0</v>
      </c>
      <c r="I12">
        <f>VLOOKUP(A1,Lists!A:B,2,0)</f>
      </c>
      <c r="J12" t="str">
        <f>IF(A1="","",A1)</f>
        <v/>
      </c>
      <c r="K12" t="e">
        <f>VLOOKUP(A1,Lists!A:B,2,0)</f>
        <v>#N/A</v>
      </c>
      <c r="L12" t="str">
        <f>IF(A1="","",A1)</f>
        <v/>
      </c>
    </row>
    <row r="13">
      <c r="A13" s="1">
        <v>45305</v>
      </c>
      <c r="B13" t="str">
        <f>IF(A1="","",A1)</f>
        <v/>
      </c>
      <c r="C13" t="str">
        <f>IF(A1="","",A1)</f>
        <v/>
      </c>
      <c r="F13">
        <f>SUM(X1:X2)</f>
        <v>0</v>
      </c>
      <c r="G13">
        <f>SUM(X1:X2)</f>
        <v>0</v>
      </c>
      <c r="H13">
        <f>SUM(X1:X2)</f>
        <v>0</v>
      </c>
      <c r="I13">
        <f>VLOOKUP(A1,Lists!A:B,2,0)</f>
      </c>
      <c r="J13" t="str">
        <f>IF(A1="","",A1)</f>
        <v/>
      </c>
      <c r="K13" t="e">
        <f>VLOOKUP(A1,Lists!A:B,2,0)</f>
        <v>#N/A</v>
      </c>
      <c r="L13" t="str">
        <f>IF(A1="","",A1)</f>
        <v/>
      </c>
    </row>
    <row r="14">
      <c r="A14" s="1">
        <v>45306</v>
      </c>
      <c r="B14" t="str">
        <f>IF(A1="","",A1)</f>
        <v/>
      </c>
      <c r="C14" t="str">
        <f>IF(A1="","",A1)</f>
        <v/>
      </c>
      <c r="F14">
        <f>SUM(X1:X2)</f>
        <v>0</v>
      </c>
      <c r="G14">
        <f>SUM(X1:X2)</f>
        <v>0</v>
      </c>
      <c r="H14">
        <f>SUM(X1:X2)</f>
        <v>0</v>
      </c>
      <c r="I14">
        <f>VLOOKUP(A1,Lists!A:B,2,0)</f>
      </c>
      <c r="J14" t="str">
        <f>IF(A1="","",A1)</f>
        <v/>
      </c>
      <c r="K14" t="e">
        <f>VLOOKUP(A1,Lists!A:B,2,0)</f>
        <v>#N/A</v>
      </c>
      <c r="L14" t="str">
        <f>IF(A1="","",A1)</f>
        <v/>
      </c>
    </row>
    <row r="15">
      <c r="A15" s="1">
        <v>45307</v>
      </c>
      <c r="B15" t="s">
        <v>27</v>
      </c>
      <c r="C15" t="s">
        <v>28</v>
      </c>
      <c r="D15">
        <v>45</v>
      </c>
      <c r="E15">
        <v>0.1</v>
      </c>
      <c r="F15">
        <f>SUM(X1:X2)</f>
        <v>4.5</v>
      </c>
      <c r="G15">
        <f>SUM(X1:X2)</f>
        <v>0</v>
      </c>
      <c r="H15">
        <f>SUM(X1:X2)</f>
        <v>0</v>
      </c>
      <c r="I15">
        <f>VLOOKUP(A1,Lists!A:B,2,0)</f>
      </c>
      <c r="J15" t="str">
        <f>IF(A1="","",A1)</f>
        <v/>
      </c>
      <c r="K15" t="e">
        <f>VLOOKUP(A1,Lists!A:B,2,0)</f>
        <v>#N/A</v>
      </c>
      <c r="L15" t="str">
        <f>IF(A1="","",A1)</f>
        <v/>
      </c>
    </row>
    <row r="16">
      <c r="A16" s="1">
        <v>45308</v>
      </c>
      <c r="B16" t="str">
        <f>IF(A1="","",A1)</f>
        <v/>
      </c>
      <c r="C16" t="str">
        <f>IF(A1="","",A1)</f>
        <v/>
      </c>
      <c r="F16">
        <f>SUM(X1:X2)</f>
        <v>0</v>
      </c>
      <c r="G16">
        <f>SUM(X1:X2)</f>
        <v>0</v>
      </c>
      <c r="H16">
        <f>SUM(X1:X2)</f>
        <v>0</v>
      </c>
      <c r="I16">
        <f>VLOOKUP(A1,Lists!A:B,2,0)</f>
      </c>
      <c r="J16" t="str">
        <f>IF(A1="","",A1)</f>
        <v/>
      </c>
      <c r="K16" t="e">
        <f>VLOOKUP(A1,Lists!A:B,2,0)</f>
        <v>#N/A</v>
      </c>
      <c r="L16" t="str">
        <f>IF(A1="","",A1)</f>
        <v/>
      </c>
    </row>
    <row r="17">
      <c r="A17" s="1">
        <v>45309</v>
      </c>
      <c r="B17" t="str">
        <f>IF(A1="","",A1)</f>
        <v/>
      </c>
      <c r="C17" t="str">
        <f>IF(A1="","",A1)</f>
        <v/>
      </c>
      <c r="F17">
        <f>SUM(X1:X2)</f>
        <v>0</v>
      </c>
      <c r="G17">
        <f>SUM(X1:X2)</f>
        <v>0</v>
      </c>
      <c r="H17">
        <f>SUM(X1:X2)</f>
        <v>0</v>
      </c>
      <c r="I17">
        <f>VLOOKUP(A1,Lists!A:B,2,0)</f>
      </c>
      <c r="J17" t="str">
        <f>IF(A1="","",A1)</f>
        <v/>
      </c>
      <c r="K17" t="e">
        <f>VLOOKUP(A1,Lists!A:B,2,0)</f>
        <v>#N/A</v>
      </c>
      <c r="L17" t="str">
        <f>IF(A1="","",A1)</f>
        <v/>
      </c>
    </row>
    <row r="18">
      <c r="A18" s="1">
        <v>45310</v>
      </c>
      <c r="B18" t="s">
        <v>29</v>
      </c>
      <c r="C18" t="s">
        <v>28</v>
      </c>
      <c r="D18">
        <v>54</v>
      </c>
      <c r="E18">
        <v>249.9</v>
      </c>
      <c r="F18">
        <f>SUM(X1:X2)</f>
        <v>13494.6</v>
      </c>
      <c r="G18">
        <f>SUM(X1:X2)</f>
        <v>0</v>
      </c>
      <c r="H18">
        <f>SUM(X1:X2)</f>
        <v>0</v>
      </c>
      <c r="I18">
        <f>VLOOKUP(A1,Lists!A:B,2,0)</f>
      </c>
      <c r="J18" t="str">
        <f>IF(A1="","",A1)</f>
        <v/>
      </c>
      <c r="K18" t="e">
        <f>VLOOKUP(A1,Lists!A:B,2,0)</f>
        <v>#N/A</v>
      </c>
      <c r="L18" t="str">
        <f>IF(A1="","",A1)</f>
        <v/>
      </c>
    </row>
    <row r="19">
      <c r="A19" s="1">
        <v>45311</v>
      </c>
      <c r="B19" t="str">
        <f>IF(A1="","",A1)</f>
        <v/>
      </c>
      <c r="C19" t="str">
        <f>IF(A1="","",A1)</f>
        <v/>
      </c>
      <c r="F19">
        <f>SUM(X1:X2)</f>
        <v>0</v>
      </c>
      <c r="G19">
        <f>SUM(X1:X2)</f>
        <v>0</v>
      </c>
      <c r="H19">
        <f>SUM(X1:X2)</f>
        <v>0</v>
      </c>
      <c r="I19">
        <f>VLOOKUP(A1,Lists!A:B,2,0)</f>
      </c>
      <c r="J19" t="str">
        <f>IF(A1="","",A1)</f>
        <v/>
      </c>
      <c r="K19" t="e">
        <f>VLOOKUP(A1,Lists!A:B,2,0)</f>
        <v>#N/A</v>
      </c>
      <c r="L19" t="str">
        <f>IF(A1="","",A1)</f>
        <v/>
      </c>
    </row>
    <row r="20">
      <c r="A20" s="1">
        <v>45312</v>
      </c>
      <c r="B20" t="str">
        <f>IF(A1="","",A1)</f>
        <v/>
      </c>
      <c r="C20" t="str">
        <f>IF(A1="","",A1)</f>
        <v/>
      </c>
      <c r="F20">
        <f>SUM(X1:X2)</f>
        <v>0</v>
      </c>
      <c r="G20">
        <f>SUM(X1:X2)</f>
        <v>0</v>
      </c>
      <c r="H20">
        <f>SUM(X1:X2)</f>
        <v>0</v>
      </c>
      <c r="I20">
        <f>VLOOKUP(A1,Lists!A:B,2,0)</f>
      </c>
      <c r="J20" t="str">
        <f>IF(A1="","",A1)</f>
        <v/>
      </c>
      <c r="K20" t="e">
        <f>VLOOKUP(A1,Lists!A:B,2,0)</f>
        <v>#N/A</v>
      </c>
      <c r="L20" t="str">
        <f>IF(A1="","",A1)</f>
        <v/>
      </c>
    </row>
    <row r="21">
      <c r="A21" s="1">
        <v>45313</v>
      </c>
      <c r="B21" t="s">
        <v>27</v>
      </c>
      <c r="C21" t="s">
        <v>28</v>
      </c>
      <c r="D21">
        <v>63</v>
      </c>
      <c r="E21">
        <v>0.1</v>
      </c>
      <c r="F21">
        <f>SUM(X1:X2)</f>
        <v>6.300000000000001</v>
      </c>
      <c r="G21">
        <f>SUM(X1:X2)</f>
        <v>0</v>
      </c>
      <c r="H21">
        <f>SUM(X1:X2)</f>
        <v>0</v>
      </c>
      <c r="I21">
        <f>VLOOKUP(A1,Lists!A:B,2,0)</f>
      </c>
      <c r="J21" t="str">
        <f>IF(A1="","",A1)</f>
        <v/>
      </c>
      <c r="K21" t="e">
        <f>VLOOKUP(A1,Lists!A:B,2,0)</f>
        <v>#N/A</v>
      </c>
      <c r="L21" t="str">
        <f>IF(A1="","",A1)</f>
        <v/>
      </c>
    </row>
    <row r="22">
      <c r="A22" s="1">
        <v>45314</v>
      </c>
      <c r="B22" t="str">
        <f>IF(A1="","",A1)</f>
        <v/>
      </c>
      <c r="C22" t="str">
        <f>IF(A1="","",A1)</f>
        <v/>
      </c>
      <c r="F22">
        <f>SUM(X1:X2)</f>
        <v>0</v>
      </c>
      <c r="G22">
        <f>SUM(X1:X2)</f>
        <v>0</v>
      </c>
      <c r="H22">
        <f>SUM(X1:X2)</f>
        <v>0</v>
      </c>
      <c r="I22">
        <f>VLOOKUP(A1,Lists!A:B,2,0)</f>
      </c>
      <c r="J22" t="str">
        <f>IF(A1="","",A1)</f>
        <v/>
      </c>
      <c r="K22" t="e">
        <f>VLOOKUP(A1,Lists!A:B,2,0)</f>
        <v>#N/A</v>
      </c>
      <c r="L22" t="str">
        <f>IF(A1="","",A1)</f>
        <v/>
      </c>
    </row>
    <row r="23">
      <c r="A23" s="1">
        <v>45315</v>
      </c>
      <c r="B23" t="str">
        <f>IF(A1="","",A1)</f>
        <v/>
      </c>
      <c r="C23" t="str">
        <f>IF(A1="","",A1)</f>
        <v/>
      </c>
      <c r="F23">
        <f>SUM(X1:X2)</f>
        <v>0</v>
      </c>
      <c r="G23">
        <f>SUM(X1:X2)</f>
        <v>0</v>
      </c>
      <c r="H23">
        <f>SUM(X1:X2)</f>
        <v>0</v>
      </c>
      <c r="I23">
        <f>VLOOKUP(A1,Lists!A:B,2,0)</f>
      </c>
      <c r="J23" t="str">
        <f>IF(A1="","",A1)</f>
        <v/>
      </c>
      <c r="K23" t="e">
        <f>VLOOKUP(A1,Lists!A:B,2,0)</f>
        <v>#N/A</v>
      </c>
      <c r="L23" t="str">
        <f>IF(A1="","",A1)</f>
        <v/>
      </c>
    </row>
    <row r="24">
      <c r="A24" s="1">
        <v>45316</v>
      </c>
      <c r="B24" t="s">
        <v>29</v>
      </c>
      <c r="C24" t="s">
        <v>28</v>
      </c>
      <c r="D24">
        <v>72</v>
      </c>
      <c r="E24">
        <v>249.9</v>
      </c>
      <c r="F24">
        <f>SUM(X1:X2)</f>
        <v>17992.8</v>
      </c>
      <c r="G24">
        <f>SUM(X1:X2)</f>
        <v>0</v>
      </c>
      <c r="H24">
        <f>SUM(X1:X2)</f>
        <v>0</v>
      </c>
      <c r="I24">
        <f>VLOOKUP(A1,Lists!A:B,2,0)</f>
      </c>
      <c r="J24" t="str">
        <f>IF(A1="","",A1)</f>
        <v/>
      </c>
      <c r="K24" t="e">
        <f>VLOOKUP(A1,Lists!A:B,2,0)</f>
        <v>#N/A</v>
      </c>
      <c r="L24" t="str">
        <f>IF(A1="","",A1)</f>
        <v/>
      </c>
    </row>
    <row r="25">
      <c r="A25" s="1">
        <v>45317</v>
      </c>
      <c r="B25" t="str">
        <f>IF(A1="","",A1)</f>
        <v/>
      </c>
      <c r="C25" t="str">
        <f>IF(A1="","",A1)</f>
        <v/>
      </c>
      <c r="F25">
        <f>SUM(X1:X2)</f>
        <v>0</v>
      </c>
      <c r="G25">
        <f>SUM(X1:X2)</f>
        <v>0</v>
      </c>
      <c r="H25">
        <f>SUM(X1:X2)</f>
        <v>0</v>
      </c>
      <c r="I25">
        <f>VLOOKUP(A1,Lists!A:B,2,0)</f>
      </c>
      <c r="J25" t="str">
        <f>IF(A1="","",A1)</f>
        <v/>
      </c>
      <c r="K25" t="e">
        <f>VLOOKUP(A1,Lists!A:B,2,0)</f>
        <v>#N/A</v>
      </c>
      <c r="L25" t="str">
        <f>IF(A1="","",A1)</f>
        <v/>
      </c>
    </row>
  </sheetData>
</worksheet>
</file>

<file path=xl/worksheets/sheet3.xml><?xml version="1.0" encoding="utf-8"?>
<worksheet xmlns="http://schemas.openxmlformats.org/spreadsheetml/2006/main">
  <sheetData>
    <row r="1">
      <c r="A1" t="s">
        <v>30</v>
      </c>
      <c r="B1">
        <v>1001</v>
      </c>
      <c r="C1" t="s">
        <v>31</v>
      </c>
    </row>
    <row r="2">
      <c r="A2" t="s">
        <v>32</v>
      </c>
      <c r="B2">
        <v>1002</v>
      </c>
      <c r="C2" t="s">
        <v>31</v>
      </c>
    </row>
    <row r="3">
      <c r="A3" t="s">
        <v>33</v>
      </c>
      <c r="B3">
        <v>1003</v>
      </c>
      <c r="C3" t="s">
        <v>31</v>
      </c>
    </row>
    <row r="4">
      <c r="A4" t="s">
        <v>34</v>
      </c>
      <c r="B4">
        <v>1004</v>
      </c>
      <c r="C4" t="s">
        <v>31</v>
      </c>
    </row>
    <row r="5">
      <c r="A5" t="s">
        <v>35</v>
      </c>
      <c r="B5">
        <v>1005</v>
      </c>
      <c r="C5" t="s">
        <v>31</v>
      </c>
    </row>
    <row r="6">
      <c r="A6" t="s">
        <v>36</v>
      </c>
      <c r="B6">
        <v>1006</v>
      </c>
      <c r="C6" t="s">
        <v>31</v>
      </c>
    </row>
  </sheetData>
</worksheet>
</file>